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8_{C10603F5-236C-4404-A4CD-F063F4BBF445}" xr6:coauthVersionLast="47" xr6:coauthVersionMax="47" xr10:uidLastSave="{00000000-0000-0000-0000-000000000000}"/>
  <bookViews>
    <workbookView xWindow="-108" yWindow="-108" windowWidth="23256" windowHeight="12456" activeTab="1" xr2:uid="{41338BB4-A9E4-453F-9C17-955EC07ECB0D}"/>
  </bookViews>
  <sheets>
    <sheet name="Sheet1" sheetId="1" r:id="rId1"/>
    <sheet name="Sheet2" sheetId="3" r:id="rId2"/>
  </sheets>
  <definedNames>
    <definedName name="_xlnm._FilterDatabase" localSheetId="0" hidden="1">Sheet1!$A$2:$G$12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3" l="1"/>
  <c r="M7" i="3"/>
  <c r="J7" i="3"/>
  <c r="M6" i="3"/>
  <c r="M5" i="3"/>
  <c r="M4" i="3"/>
  <c r="M3" i="3"/>
  <c r="J17" i="3"/>
  <c r="J16" i="3"/>
  <c r="J15" i="3"/>
  <c r="J14" i="3"/>
  <c r="G4" i="3"/>
  <c r="G5" i="3"/>
  <c r="G6" i="3"/>
  <c r="G7" i="3"/>
  <c r="G8" i="3"/>
  <c r="G9" i="3"/>
  <c r="G10" i="3"/>
  <c r="G11" i="3"/>
  <c r="G12" i="3"/>
  <c r="G3" i="3"/>
  <c r="J13" i="3"/>
  <c r="J12" i="3"/>
  <c r="J11" i="3"/>
  <c r="J6" i="3"/>
  <c r="J5" i="3"/>
  <c r="J4" i="3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H2" i="1"/>
</calcChain>
</file>

<file path=xl/sharedStrings.xml><?xml version="1.0" encoding="utf-8"?>
<sst xmlns="http://schemas.openxmlformats.org/spreadsheetml/2006/main" count="132" uniqueCount="64">
  <si>
    <t>Roll No</t>
  </si>
  <si>
    <t>Student Name</t>
  </si>
  <si>
    <t>Gender</t>
  </si>
  <si>
    <t>Course</t>
  </si>
  <si>
    <t>Marks</t>
  </si>
  <si>
    <t>City</t>
  </si>
  <si>
    <t>Amit</t>
  </si>
  <si>
    <t>Male</t>
  </si>
  <si>
    <t>BCA</t>
  </si>
  <si>
    <t>Amravati</t>
  </si>
  <si>
    <t>Priya</t>
  </si>
  <si>
    <t>Female</t>
  </si>
  <si>
    <t>Nagpur</t>
  </si>
  <si>
    <t>Rahul</t>
  </si>
  <si>
    <t>BSc</t>
  </si>
  <si>
    <t>Pune</t>
  </si>
  <si>
    <t>Sneha</t>
  </si>
  <si>
    <t>Rohit</t>
  </si>
  <si>
    <t>Akola</t>
  </si>
  <si>
    <t>Neha</t>
  </si>
  <si>
    <t>Akash</t>
  </si>
  <si>
    <t>Pooja</t>
  </si>
  <si>
    <t>Karan</t>
  </si>
  <si>
    <t>Riya</t>
  </si>
  <si>
    <t>Grade</t>
  </si>
  <si>
    <t>Filter and display</t>
  </si>
  <si>
    <t>No. Student</t>
  </si>
  <si>
    <t>ID</t>
  </si>
  <si>
    <t>Employee Name</t>
  </si>
  <si>
    <t>Department</t>
  </si>
  <si>
    <t>Salary</t>
  </si>
  <si>
    <t>Experience</t>
  </si>
  <si>
    <t>Performance</t>
  </si>
  <si>
    <t>Amit Sharma</t>
  </si>
  <si>
    <t>IT</t>
  </si>
  <si>
    <t>Priya Patil</t>
  </si>
  <si>
    <t>HR</t>
  </si>
  <si>
    <t>Rahul Jain</t>
  </si>
  <si>
    <t>Sneha Gupta</t>
  </si>
  <si>
    <t>Finance</t>
  </si>
  <si>
    <t>Rohit Singh</t>
  </si>
  <si>
    <t>Neha Joshi</t>
  </si>
  <si>
    <t>Akash Verma</t>
  </si>
  <si>
    <t>Pooja Deshmukh</t>
  </si>
  <si>
    <t>Karan Shah</t>
  </si>
  <si>
    <t>Riya More</t>
  </si>
  <si>
    <t>Mathematical Functions</t>
  </si>
  <si>
    <t>Amount</t>
  </si>
  <si>
    <t>Total Salary</t>
  </si>
  <si>
    <t>Average Salary</t>
  </si>
  <si>
    <t>Highest Salary</t>
  </si>
  <si>
    <t>Lowest Salary</t>
  </si>
  <si>
    <t>Employee</t>
  </si>
  <si>
    <t>Total Employees</t>
  </si>
  <si>
    <t>Employee Names</t>
  </si>
  <si>
    <t>Performance Entries</t>
  </si>
  <si>
    <t>Total</t>
  </si>
  <si>
    <t>Performance Status</t>
  </si>
  <si>
    <t>Employees in IT</t>
  </si>
  <si>
    <t>Employees in HR</t>
  </si>
  <si>
    <t>Total IT Salary</t>
  </si>
  <si>
    <t>Total Finance Salary</t>
  </si>
  <si>
    <t>Employee Performance Summary</t>
  </si>
  <si>
    <t>Average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</si>
</sst>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0" fillId="4" borderId="2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Sheet1!$C$3:$C$12</c:f>
              <c:strCache>
                <c:ptCount val="10"/>
                <c:pt idx="0">
                  <c:v>Riya</c:v>
                </c:pt>
                <c:pt idx="1">
                  <c:v>Sneha</c:v>
                </c:pt>
                <c:pt idx="2">
                  <c:v>Neha</c:v>
                </c:pt>
                <c:pt idx="3">
                  <c:v>Priya</c:v>
                </c:pt>
                <c:pt idx="4">
                  <c:v>Amit</c:v>
                </c:pt>
                <c:pt idx="5">
                  <c:v>Karan</c:v>
                </c:pt>
                <c:pt idx="6">
                  <c:v>Rohit</c:v>
                </c:pt>
                <c:pt idx="7">
                  <c:v>Rahul</c:v>
                </c:pt>
                <c:pt idx="8">
                  <c:v>Akash</c:v>
                </c:pt>
                <c:pt idx="9">
                  <c:v>Pooja</c:v>
                </c:pt>
              </c:strCache>
            </c:strRef>
          </c:cat>
          <c:val>
            <c:numRef>
              <c:f>Sheet1!$F$3:$F$12</c:f>
              <c:numCache>
                <c:formatCode>0;[Red]0</c:formatCode>
                <c:ptCount val="10"/>
                <c:pt idx="0">
                  <c:v>95</c:v>
                </c:pt>
                <c:pt idx="1">
                  <c:v>91</c:v>
                </c:pt>
                <c:pt idx="2">
                  <c:v>88</c:v>
                </c:pt>
                <c:pt idx="3">
                  <c:v>85</c:v>
                </c:pt>
                <c:pt idx="4">
                  <c:v>78</c:v>
                </c:pt>
                <c:pt idx="5">
                  <c:v>74</c:v>
                </c:pt>
                <c:pt idx="6">
                  <c:v>72</c:v>
                </c:pt>
                <c:pt idx="7">
                  <c:v>67</c:v>
                </c:pt>
                <c:pt idx="8">
                  <c:v>56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4-467D-8ED0-6444AB96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089024"/>
        <c:axId val="1711109360"/>
        <c:axId val="0"/>
      </c:bar3DChart>
      <c:catAx>
        <c:axId val="670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09360"/>
        <c:crosses val="autoZero"/>
        <c:auto val="1"/>
        <c:lblAlgn val="ctr"/>
        <c:lblOffset val="100"/>
        <c:noMultiLvlLbl val="0"/>
      </c:catAx>
      <c:valAx>
        <c:axId val="171110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8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Sheet1!$C$16</c:f>
              <c:strCache>
                <c:ptCount val="1"/>
                <c:pt idx="0">
                  <c:v>No. Student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24-4C73-B5BF-CD5569A05F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24-4C73-B5BF-CD5569A05FCF}"/>
              </c:ext>
            </c:extLst>
          </c:dPt>
          <c:cat>
            <c:strRef>
              <c:f>Sheet1!$B$17:$B$18</c:f>
              <c:strCache>
                <c:ptCount val="2"/>
                <c:pt idx="0">
                  <c:v>BCA</c:v>
                </c:pt>
                <c:pt idx="1">
                  <c:v>BSc</c:v>
                </c:pt>
              </c:strCache>
            </c:strRef>
          </c:cat>
          <c:val>
            <c:numRef>
              <c:f>Sheet1!$C$17:$C$18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4C22-AF8D-0BBC3B55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Employee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Sheet2!$B$3:$B$12</c:f>
              <c:strCache>
                <c:ptCount val="10"/>
                <c:pt idx="0">
                  <c:v>Amit Sharma</c:v>
                </c:pt>
                <c:pt idx="1">
                  <c:v>Priya Patil</c:v>
                </c:pt>
                <c:pt idx="2">
                  <c:v>Rahul Jain</c:v>
                </c:pt>
                <c:pt idx="3">
                  <c:v>Sneha Gupta</c:v>
                </c:pt>
                <c:pt idx="4">
                  <c:v>Rohit Singh</c:v>
                </c:pt>
                <c:pt idx="5">
                  <c:v>Neha Joshi</c:v>
                </c:pt>
                <c:pt idx="6">
                  <c:v>Akash Verma</c:v>
                </c:pt>
                <c:pt idx="7">
                  <c:v>Pooja Deshmukh</c:v>
                </c:pt>
                <c:pt idx="8">
                  <c:v>Karan Shah</c:v>
                </c:pt>
                <c:pt idx="9">
                  <c:v>Riya More</c:v>
                </c:pt>
              </c:strCache>
            </c:strRef>
          </c:cat>
          <c:val>
            <c:numRef>
              <c:f>Sheet2!$F$3:$F$12</c:f>
              <c:numCache>
                <c:formatCode>General</c:formatCode>
                <c:ptCount val="1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95</c:v>
                </c:pt>
                <c:pt idx="5">
                  <c:v>72</c:v>
                </c:pt>
                <c:pt idx="6">
                  <c:v>84</c:v>
                </c:pt>
                <c:pt idx="7">
                  <c:v>90</c:v>
                </c:pt>
                <c:pt idx="8">
                  <c:v>68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3-4C03-B12B-189EC513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5365472"/>
        <c:axId val="1711170800"/>
      </c:barChart>
      <c:catAx>
        <c:axId val="18453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70800"/>
        <c:crosses val="autoZero"/>
        <c:auto val="1"/>
        <c:lblAlgn val="ctr"/>
        <c:lblOffset val="100"/>
        <c:noMultiLvlLbl val="0"/>
      </c:catAx>
      <c:valAx>
        <c:axId val="17111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6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13</xdr:row>
      <xdr:rowOff>22860</xdr:rowOff>
    </xdr:from>
    <xdr:to>
      <xdr:col>13</xdr:col>
      <xdr:colOff>502920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B8370-97CE-4F89-6F9A-18D2C3309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106680</xdr:colOff>
      <xdr:row>13</xdr:row>
      <xdr:rowOff>49530</xdr:rowOff>
    </xdr:from>
    <xdr:to>
      <xdr:col>20</xdr:col>
      <xdr:colOff>274320</xdr:colOff>
      <xdr:row>27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38103-F0AB-7057-3793-6C5AE4A1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9</xdr:row>
      <xdr:rowOff>26670</xdr:rowOff>
    </xdr:from>
    <xdr:to>
      <xdr:col>17</xdr:col>
      <xdr:colOff>266700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0D1D7-08C4-733C-7FEA-2469C664D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6068-148B-4243-B2B5-417D024CBB31}">
  <sheetPr filterMode="1"/>
  <dimension ref="A1:Q18"/>
  <sheetViews>
    <sheetView workbookViewId="0">
      <selection activeCell="U9" sqref="U9"/>
    </sheetView>
  </sheetViews>
  <sheetFormatPr defaultRowHeight="14.4" x14ac:dyDescent="0.3"/>
  <cols>
    <col min="2" max="2" width="6.88671875" bestFit="1" customWidth="1"/>
    <col min="3" max="3" width="7.5546875" bestFit="1" customWidth="1"/>
    <col min="4" max="4" width="7.109375" bestFit="1" customWidth="1"/>
    <col min="5" max="5" width="6.77734375" bestFit="1" customWidth="1"/>
    <col min="6" max="6" width="6" bestFit="1" customWidth="1"/>
    <col min="7" max="7" width="8.109375" bestFit="1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27.6" customHeight="1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4" t="s">
        <v>4</v>
      </c>
      <c r="G2" s="2" t="s">
        <v>5</v>
      </c>
      <c r="H2" s="8" t="str">
        <f>IF(E3&gt;=40,"Pass","Fail")</f>
        <v>Pass</v>
      </c>
      <c r="I2" s="2" t="s">
        <v>24</v>
      </c>
      <c r="L2" s="9" t="s">
        <v>25</v>
      </c>
    </row>
    <row r="3" spans="1:17" ht="17.399999999999999" customHeight="1" x14ac:dyDescent="0.3">
      <c r="A3" s="1"/>
      <c r="B3" s="3">
        <v>110</v>
      </c>
      <c r="C3" s="3" t="s">
        <v>23</v>
      </c>
      <c r="D3" s="3" t="s">
        <v>11</v>
      </c>
      <c r="E3" s="3" t="s">
        <v>8</v>
      </c>
      <c r="F3" s="5">
        <v>95</v>
      </c>
      <c r="G3" s="3" t="s">
        <v>12</v>
      </c>
      <c r="H3" s="10" t="str">
        <f>IF(F3&gt;=40,"Pass","Fail")</f>
        <v>Pass</v>
      </c>
      <c r="I3" s="7" t="str">
        <f>IF(F3&gt;=75,"A",IF(F3&gt;=60,"B",IF(F3&gt;=40,"C","F")))</f>
        <v>A</v>
      </c>
      <c r="L3" s="2" t="s">
        <v>0</v>
      </c>
      <c r="M3" s="2" t="s">
        <v>1</v>
      </c>
      <c r="N3" s="2" t="s">
        <v>2</v>
      </c>
      <c r="O3" s="2" t="s">
        <v>3</v>
      </c>
      <c r="P3" s="4" t="s">
        <v>4</v>
      </c>
      <c r="Q3" s="2" t="s">
        <v>5</v>
      </c>
    </row>
    <row r="4" spans="1:17" x14ac:dyDescent="0.3">
      <c r="A4" s="1"/>
      <c r="B4" s="3">
        <v>104</v>
      </c>
      <c r="C4" s="3" t="s">
        <v>16</v>
      </c>
      <c r="D4" s="3" t="s">
        <v>11</v>
      </c>
      <c r="E4" s="3" t="s">
        <v>14</v>
      </c>
      <c r="F4" s="5">
        <v>91</v>
      </c>
      <c r="G4" s="3" t="s">
        <v>9</v>
      </c>
      <c r="H4" s="10" t="str">
        <f t="shared" ref="H4:H12" si="0">IF(F4&gt;=40,"Pass","Fail")</f>
        <v>Pass</v>
      </c>
      <c r="I4" s="7" t="str">
        <f t="shared" ref="I4:I12" si="1">IF(F4&gt;=75,"A",IF(F4&gt;=60,"B",IF(F4&gt;=40,"C","F")))</f>
        <v>A</v>
      </c>
      <c r="L4" s="3">
        <v>110</v>
      </c>
      <c r="M4" s="3" t="s">
        <v>23</v>
      </c>
      <c r="N4" s="3" t="s">
        <v>11</v>
      </c>
      <c r="O4" s="3" t="s">
        <v>8</v>
      </c>
      <c r="P4" s="5">
        <v>95</v>
      </c>
      <c r="Q4" s="3" t="s">
        <v>12</v>
      </c>
    </row>
    <row r="5" spans="1:17" x14ac:dyDescent="0.3">
      <c r="A5" s="1"/>
      <c r="B5" s="3">
        <v>106</v>
      </c>
      <c r="C5" s="3" t="s">
        <v>19</v>
      </c>
      <c r="D5" s="3" t="s">
        <v>11</v>
      </c>
      <c r="E5" s="3" t="s">
        <v>8</v>
      </c>
      <c r="F5" s="5">
        <v>88</v>
      </c>
      <c r="G5" s="3" t="s">
        <v>12</v>
      </c>
      <c r="H5" s="10" t="str">
        <f t="shared" si="0"/>
        <v>Pass</v>
      </c>
      <c r="I5" s="7" t="str">
        <f t="shared" si="1"/>
        <v>A</v>
      </c>
      <c r="L5" s="3">
        <v>106</v>
      </c>
      <c r="M5" s="3" t="s">
        <v>19</v>
      </c>
      <c r="N5" s="3" t="s">
        <v>11</v>
      </c>
      <c r="O5" s="3" t="s">
        <v>8</v>
      </c>
      <c r="P5" s="5">
        <v>88</v>
      </c>
      <c r="Q5" s="3" t="s">
        <v>12</v>
      </c>
    </row>
    <row r="6" spans="1:17" x14ac:dyDescent="0.3">
      <c r="A6" s="1"/>
      <c r="B6" s="3">
        <v>102</v>
      </c>
      <c r="C6" s="3" t="s">
        <v>10</v>
      </c>
      <c r="D6" s="3" t="s">
        <v>11</v>
      </c>
      <c r="E6" s="3" t="s">
        <v>8</v>
      </c>
      <c r="F6" s="5">
        <v>85</v>
      </c>
      <c r="G6" s="3" t="s">
        <v>12</v>
      </c>
      <c r="H6" s="10" t="str">
        <f t="shared" si="0"/>
        <v>Pass</v>
      </c>
      <c r="I6" s="7" t="str">
        <f t="shared" si="1"/>
        <v>A</v>
      </c>
      <c r="L6" s="3">
        <v>102</v>
      </c>
      <c r="M6" s="3" t="s">
        <v>10</v>
      </c>
      <c r="N6" s="3" t="s">
        <v>11</v>
      </c>
      <c r="O6" s="3" t="s">
        <v>8</v>
      </c>
      <c r="P6" s="5">
        <v>85</v>
      </c>
      <c r="Q6" s="3" t="s">
        <v>12</v>
      </c>
    </row>
    <row r="7" spans="1:17" x14ac:dyDescent="0.3">
      <c r="A7" s="1"/>
      <c r="B7" s="3">
        <v>101</v>
      </c>
      <c r="C7" s="3" t="s">
        <v>6</v>
      </c>
      <c r="D7" s="3" t="s">
        <v>7</v>
      </c>
      <c r="E7" s="3" t="s">
        <v>8</v>
      </c>
      <c r="F7" s="5">
        <v>78</v>
      </c>
      <c r="G7" s="3" t="s">
        <v>9</v>
      </c>
      <c r="H7" s="10" t="str">
        <f t="shared" si="0"/>
        <v>Pass</v>
      </c>
      <c r="I7" s="7" t="str">
        <f t="shared" si="1"/>
        <v>A</v>
      </c>
      <c r="L7" s="3">
        <v>101</v>
      </c>
      <c r="M7" s="3" t="s">
        <v>6</v>
      </c>
      <c r="N7" s="3" t="s">
        <v>7</v>
      </c>
      <c r="O7" s="3" t="s">
        <v>8</v>
      </c>
      <c r="P7" s="5">
        <v>78</v>
      </c>
      <c r="Q7" s="3" t="s">
        <v>9</v>
      </c>
    </row>
    <row r="8" spans="1:17" x14ac:dyDescent="0.3">
      <c r="A8" s="1"/>
      <c r="B8" s="3">
        <v>109</v>
      </c>
      <c r="C8" s="3" t="s">
        <v>22</v>
      </c>
      <c r="D8" s="3" t="s">
        <v>7</v>
      </c>
      <c r="E8" s="3" t="s">
        <v>14</v>
      </c>
      <c r="F8" s="5">
        <v>74</v>
      </c>
      <c r="G8" s="3" t="s">
        <v>18</v>
      </c>
      <c r="H8" s="10" t="str">
        <f t="shared" si="0"/>
        <v>Pass</v>
      </c>
      <c r="I8" s="7" t="str">
        <f t="shared" si="1"/>
        <v>B</v>
      </c>
      <c r="L8" s="3">
        <v>105</v>
      </c>
      <c r="M8" s="3" t="s">
        <v>17</v>
      </c>
      <c r="N8" s="3" t="s">
        <v>7</v>
      </c>
      <c r="O8" s="3" t="s">
        <v>8</v>
      </c>
      <c r="P8" s="5">
        <v>72</v>
      </c>
      <c r="Q8" s="3" t="s">
        <v>18</v>
      </c>
    </row>
    <row r="9" spans="1:17" x14ac:dyDescent="0.3">
      <c r="A9" s="1"/>
      <c r="B9" s="3">
        <v>105</v>
      </c>
      <c r="C9" s="3" t="s">
        <v>17</v>
      </c>
      <c r="D9" s="3" t="s">
        <v>7</v>
      </c>
      <c r="E9" s="3" t="s">
        <v>8</v>
      </c>
      <c r="F9" s="5">
        <v>72</v>
      </c>
      <c r="G9" s="3" t="s">
        <v>18</v>
      </c>
      <c r="H9" s="10" t="str">
        <f t="shared" si="0"/>
        <v>Pass</v>
      </c>
      <c r="I9" s="7" t="str">
        <f t="shared" si="1"/>
        <v>B</v>
      </c>
      <c r="L9" s="3">
        <v>108</v>
      </c>
      <c r="M9" s="3" t="s">
        <v>21</v>
      </c>
      <c r="N9" s="3" t="s">
        <v>11</v>
      </c>
      <c r="O9" s="3" t="s">
        <v>8</v>
      </c>
      <c r="P9" s="5">
        <v>39</v>
      </c>
      <c r="Q9" s="3" t="s">
        <v>9</v>
      </c>
    </row>
    <row r="10" spans="1:17" x14ac:dyDescent="0.3">
      <c r="A10" s="1"/>
      <c r="B10" s="3">
        <v>103</v>
      </c>
      <c r="C10" s="3" t="s">
        <v>13</v>
      </c>
      <c r="D10" s="3" t="s">
        <v>7</v>
      </c>
      <c r="E10" s="3" t="s">
        <v>14</v>
      </c>
      <c r="F10" s="5">
        <v>67</v>
      </c>
      <c r="G10" s="3" t="s">
        <v>15</v>
      </c>
      <c r="H10" s="10" t="str">
        <f t="shared" si="0"/>
        <v>Pass</v>
      </c>
      <c r="I10" s="7" t="str">
        <f t="shared" si="1"/>
        <v>B</v>
      </c>
    </row>
    <row r="11" spans="1:17" x14ac:dyDescent="0.3">
      <c r="A11" s="1"/>
      <c r="B11" s="3">
        <v>107</v>
      </c>
      <c r="C11" s="3" t="s">
        <v>20</v>
      </c>
      <c r="D11" s="3" t="s">
        <v>7</v>
      </c>
      <c r="E11" s="3" t="s">
        <v>14</v>
      </c>
      <c r="F11" s="5">
        <v>56</v>
      </c>
      <c r="G11" s="3" t="s">
        <v>15</v>
      </c>
      <c r="H11" s="10" t="str">
        <f t="shared" si="0"/>
        <v>Pass</v>
      </c>
      <c r="I11" s="7" t="str">
        <f t="shared" si="1"/>
        <v>C</v>
      </c>
    </row>
    <row r="12" spans="1:17" x14ac:dyDescent="0.3">
      <c r="A12" s="1"/>
      <c r="B12" s="3">
        <v>108</v>
      </c>
      <c r="C12" s="3" t="s">
        <v>21</v>
      </c>
      <c r="D12" s="3" t="s">
        <v>11</v>
      </c>
      <c r="E12" s="3" t="s">
        <v>8</v>
      </c>
      <c r="F12" s="5">
        <v>39</v>
      </c>
      <c r="G12" s="3" t="s">
        <v>9</v>
      </c>
      <c r="H12" s="10" t="str">
        <f t="shared" si="0"/>
        <v>Fail</v>
      </c>
      <c r="I12" s="7" t="str">
        <f t="shared" si="1"/>
        <v>F</v>
      </c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7" ht="45" customHeight="1" x14ac:dyDescent="0.3">
      <c r="B16" s="12" t="s">
        <v>3</v>
      </c>
      <c r="C16" s="12" t="s">
        <v>26</v>
      </c>
    </row>
    <row r="17" spans="2:3" x14ac:dyDescent="0.3">
      <c r="B17" s="13" t="s">
        <v>8</v>
      </c>
      <c r="C17" s="13">
        <v>6</v>
      </c>
    </row>
    <row r="18" spans="2:3" x14ac:dyDescent="0.3">
      <c r="B18" s="13" t="s">
        <v>14</v>
      </c>
      <c r="C18" s="13">
        <v>4</v>
      </c>
    </row>
  </sheetData>
  <autoFilter ref="A2:G12" xr:uid="{FAE16068-148B-4243-B2B5-417D024CBB31}">
    <filterColumn colId="0">
      <filters blank="1"/>
    </filterColumn>
  </autoFilter>
  <sortState xmlns:xlrd2="http://schemas.microsoft.com/office/spreadsheetml/2017/richdata2" ref="B3:G12">
    <sortCondition descending="1" ref="F3:F1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A4CE-27FD-43D8-A006-BA916CD11AFC}">
  <dimension ref="A2:M17"/>
  <sheetViews>
    <sheetView tabSelected="1" zoomScaleNormal="100" workbookViewId="0">
      <selection activeCell="C17" sqref="C17"/>
    </sheetView>
  </sheetViews>
  <sheetFormatPr defaultRowHeight="14.4" x14ac:dyDescent="0.3"/>
  <cols>
    <col min="2" max="2" width="16.33203125" customWidth="1"/>
    <col min="3" max="3" width="11.44140625" customWidth="1"/>
    <col min="5" max="5" width="10.88671875" customWidth="1"/>
    <col min="6" max="6" width="11.77734375" customWidth="1"/>
    <col min="7" max="7" width="17.109375" customWidth="1"/>
    <col min="9" max="9" width="22.5546875" customWidth="1"/>
    <col min="10" max="10" width="10.33203125" customWidth="1"/>
    <col min="12" max="12" width="18.21875" customWidth="1"/>
  </cols>
  <sheetData>
    <row r="2" spans="1:13" x14ac:dyDescent="0.3">
      <c r="A2" s="12" t="s">
        <v>27</v>
      </c>
      <c r="B2" s="12" t="s">
        <v>28</v>
      </c>
      <c r="C2" s="12" t="s">
        <v>29</v>
      </c>
      <c r="D2" s="12" t="s">
        <v>30</v>
      </c>
      <c r="E2" s="12" t="s">
        <v>31</v>
      </c>
      <c r="F2" s="12" t="s">
        <v>32</v>
      </c>
      <c r="G2" s="17" t="s">
        <v>57</v>
      </c>
      <c r="I2" s="9" t="s">
        <v>46</v>
      </c>
      <c r="L2" s="14" t="s">
        <v>62</v>
      </c>
    </row>
    <row r="3" spans="1:13" x14ac:dyDescent="0.3">
      <c r="A3" s="3">
        <v>101</v>
      </c>
      <c r="B3" s="3" t="s">
        <v>33</v>
      </c>
      <c r="C3" s="3" t="s">
        <v>34</v>
      </c>
      <c r="D3" s="3">
        <v>35000</v>
      </c>
      <c r="E3" s="3">
        <v>2</v>
      </c>
      <c r="F3" s="3">
        <v>82</v>
      </c>
      <c r="G3" s="7" t="str">
        <f>IF(F2&gt;=80,"Good","Needs Improvement")</f>
        <v>Good</v>
      </c>
      <c r="H3" s="11"/>
      <c r="I3" s="15" t="s">
        <v>30</v>
      </c>
      <c r="J3" s="15" t="s">
        <v>47</v>
      </c>
      <c r="L3" s="20" t="s">
        <v>53</v>
      </c>
      <c r="M3" s="6">
        <f>COUNT(A3:A12)</f>
        <v>10</v>
      </c>
    </row>
    <row r="4" spans="1:13" x14ac:dyDescent="0.3">
      <c r="A4" s="3">
        <v>102</v>
      </c>
      <c r="B4" s="3" t="s">
        <v>35</v>
      </c>
      <c r="C4" s="3" t="s">
        <v>36</v>
      </c>
      <c r="D4" s="3">
        <v>42000</v>
      </c>
      <c r="E4" s="3">
        <v>4</v>
      </c>
      <c r="F4" s="3">
        <v>91</v>
      </c>
      <c r="G4" s="7" t="str">
        <f t="shared" ref="G4:G12" si="0">IF(F3&gt;=80,"Good","Needs Improvement")</f>
        <v>Good</v>
      </c>
      <c r="I4" s="6" t="s">
        <v>48</v>
      </c>
      <c r="J4" s="6">
        <f>SUM(D3:D12)</f>
        <v>464000</v>
      </c>
      <c r="L4" s="20" t="s">
        <v>48</v>
      </c>
      <c r="M4" s="6">
        <f>SUM(D3:D12)</f>
        <v>464000</v>
      </c>
    </row>
    <row r="5" spans="1:13" x14ac:dyDescent="0.3">
      <c r="A5" s="3">
        <v>103</v>
      </c>
      <c r="B5" s="3" t="s">
        <v>37</v>
      </c>
      <c r="C5" s="3" t="s">
        <v>34</v>
      </c>
      <c r="D5" s="3">
        <v>50000</v>
      </c>
      <c r="E5" s="3">
        <v>5</v>
      </c>
      <c r="F5" s="3">
        <v>76</v>
      </c>
      <c r="G5" s="7" t="str">
        <f t="shared" si="0"/>
        <v>Good</v>
      </c>
      <c r="I5" s="6" t="s">
        <v>49</v>
      </c>
      <c r="J5" s="6">
        <f>AVERAGE(D3:D12)</f>
        <v>46400</v>
      </c>
      <c r="L5" s="20" t="s">
        <v>49</v>
      </c>
      <c r="M5" s="6">
        <f>AVERAGE(D3:D12)</f>
        <v>46400</v>
      </c>
    </row>
    <row r="6" spans="1:13" x14ac:dyDescent="0.3">
      <c r="A6" s="3">
        <v>104</v>
      </c>
      <c r="B6" s="3" t="s">
        <v>38</v>
      </c>
      <c r="C6" s="3" t="s">
        <v>39</v>
      </c>
      <c r="D6" s="3">
        <v>45000</v>
      </c>
      <c r="E6" s="3">
        <v>3</v>
      </c>
      <c r="F6" s="3">
        <v>88</v>
      </c>
      <c r="G6" s="7" t="str">
        <f t="shared" si="0"/>
        <v>Needs Improvement</v>
      </c>
      <c r="I6" s="6" t="s">
        <v>50</v>
      </c>
      <c r="J6" s="6">
        <f>MAX(D3:D12)</f>
        <v>60000</v>
      </c>
      <c r="L6" s="20" t="s">
        <v>50</v>
      </c>
      <c r="M6" s="6">
        <f>MAX(D3:D12)</f>
        <v>60000</v>
      </c>
    </row>
    <row r="7" spans="1:13" x14ac:dyDescent="0.3">
      <c r="A7" s="3">
        <v>105</v>
      </c>
      <c r="B7" s="3" t="s">
        <v>40</v>
      </c>
      <c r="C7" s="3" t="s">
        <v>34</v>
      </c>
      <c r="D7" s="3">
        <v>60000</v>
      </c>
      <c r="E7" s="3">
        <v>7</v>
      </c>
      <c r="F7" s="3">
        <v>95</v>
      </c>
      <c r="G7" s="7" t="str">
        <f t="shared" si="0"/>
        <v>Good</v>
      </c>
      <c r="I7" s="6" t="s">
        <v>51</v>
      </c>
      <c r="J7" s="6">
        <f>MIN(D3:D12)</f>
        <v>35000</v>
      </c>
      <c r="L7" s="20" t="s">
        <v>51</v>
      </c>
      <c r="M7" s="6">
        <f>MIN(D3:D12)</f>
        <v>35000</v>
      </c>
    </row>
    <row r="8" spans="1:13" x14ac:dyDescent="0.3">
      <c r="A8" s="3">
        <v>106</v>
      </c>
      <c r="B8" s="3" t="s">
        <v>41</v>
      </c>
      <c r="C8" s="3" t="s">
        <v>36</v>
      </c>
      <c r="D8" s="3">
        <v>38000</v>
      </c>
      <c r="E8" s="3">
        <v>2</v>
      </c>
      <c r="F8" s="3">
        <v>72</v>
      </c>
      <c r="G8" s="7" t="str">
        <f t="shared" si="0"/>
        <v>Good</v>
      </c>
      <c r="L8" s="20" t="s">
        <v>63</v>
      </c>
      <c r="M8" s="6">
        <f>AVERAGE(F3:F12)</f>
        <v>83.9</v>
      </c>
    </row>
    <row r="9" spans="1:13" x14ac:dyDescent="0.3">
      <c r="A9" s="3">
        <v>107</v>
      </c>
      <c r="B9" s="3" t="s">
        <v>42</v>
      </c>
      <c r="C9" s="3" t="s">
        <v>39</v>
      </c>
      <c r="D9" s="3">
        <v>55000</v>
      </c>
      <c r="E9" s="3">
        <v>6</v>
      </c>
      <c r="F9" s="3">
        <v>84</v>
      </c>
      <c r="G9" s="7" t="str">
        <f t="shared" si="0"/>
        <v>Needs Improvement</v>
      </c>
    </row>
    <row r="10" spans="1:13" ht="16.8" customHeight="1" x14ac:dyDescent="0.3">
      <c r="A10" s="3">
        <v>108</v>
      </c>
      <c r="B10" s="3" t="s">
        <v>43</v>
      </c>
      <c r="C10" s="3" t="s">
        <v>34</v>
      </c>
      <c r="D10" s="3">
        <v>47000</v>
      </c>
      <c r="E10" s="3">
        <v>4</v>
      </c>
      <c r="F10" s="3">
        <v>90</v>
      </c>
      <c r="G10" s="7" t="str">
        <f t="shared" si="0"/>
        <v>Good</v>
      </c>
      <c r="I10" s="16" t="s">
        <v>52</v>
      </c>
      <c r="J10" s="16" t="s">
        <v>56</v>
      </c>
    </row>
    <row r="11" spans="1:13" x14ac:dyDescent="0.3">
      <c r="A11" s="3">
        <v>109</v>
      </c>
      <c r="B11" s="3" t="s">
        <v>44</v>
      </c>
      <c r="C11" s="3" t="s">
        <v>36</v>
      </c>
      <c r="D11" s="3">
        <v>40000</v>
      </c>
      <c r="E11" s="3">
        <v>3</v>
      </c>
      <c r="F11" s="3">
        <v>68</v>
      </c>
      <c r="G11" s="7" t="str">
        <f t="shared" si="0"/>
        <v>Good</v>
      </c>
      <c r="I11" s="7" t="s">
        <v>53</v>
      </c>
      <c r="J11">
        <f>COUNT(A3:A12)</f>
        <v>10</v>
      </c>
    </row>
    <row r="12" spans="1:13" x14ac:dyDescent="0.3">
      <c r="A12" s="3">
        <v>110</v>
      </c>
      <c r="B12" s="3" t="s">
        <v>45</v>
      </c>
      <c r="C12" s="3" t="s">
        <v>39</v>
      </c>
      <c r="D12" s="3">
        <v>52000</v>
      </c>
      <c r="E12" s="3">
        <v>5</v>
      </c>
      <c r="F12" s="3">
        <v>93</v>
      </c>
      <c r="G12" s="7" t="str">
        <f t="shared" si="0"/>
        <v>Needs Improvement</v>
      </c>
      <c r="I12" s="7" t="s">
        <v>54</v>
      </c>
      <c r="J12" s="18">
        <f>COUNTA(B3:B12)</f>
        <v>10</v>
      </c>
    </row>
    <row r="13" spans="1:13" x14ac:dyDescent="0.3">
      <c r="I13" s="7" t="s">
        <v>55</v>
      </c>
      <c r="J13" s="19">
        <f>COUNT(F3:F12)</f>
        <v>10</v>
      </c>
    </row>
    <row r="14" spans="1:13" x14ac:dyDescent="0.3">
      <c r="I14" s="10" t="s">
        <v>58</v>
      </c>
      <c r="J14" s="6">
        <f>COUNTIF(C3:C12,"IT")</f>
        <v>4</v>
      </c>
    </row>
    <row r="15" spans="1:13" x14ac:dyDescent="0.3">
      <c r="I15" s="10" t="s">
        <v>59</v>
      </c>
      <c r="J15" s="6">
        <f>COUNTIF(C3:C12,"HR")</f>
        <v>3</v>
      </c>
    </row>
    <row r="16" spans="1:13" x14ac:dyDescent="0.3">
      <c r="I16" s="10" t="s">
        <v>60</v>
      </c>
      <c r="J16" s="6">
        <f>SUMIF(C3:C12,"IT",D3:D12)</f>
        <v>192000</v>
      </c>
    </row>
    <row r="17" spans="9:10" x14ac:dyDescent="0.3">
      <c r="I17" s="10" t="s">
        <v>61</v>
      </c>
      <c r="J17" s="6">
        <f>SUMIF(C3:C12,"Finance",D3:D12)</f>
        <v>152000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0da6a1-a849-45b1-b66e-ce8e651646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3CDF53A237C24FBAB7F83FEAFCA8FF" ma:contentTypeVersion="12" ma:contentTypeDescription="Create a new document." ma:contentTypeScope="" ma:versionID="a32811b1e0e65cf3f5d9ebfda5020191">
  <xsd:schema xmlns:xsd="http://www.w3.org/2001/XMLSchema" xmlns:xs="http://www.w3.org/2001/XMLSchema" xmlns:p="http://schemas.microsoft.com/office/2006/metadata/properties" xmlns:ns3="e40da6a1-a849-45b1-b66e-ce8e651646c9" targetNamespace="http://schemas.microsoft.com/office/2006/metadata/properties" ma:root="true" ma:fieldsID="28d4deda657324777f48a260182e316d" ns3:_="">
    <xsd:import namespace="e40da6a1-a849-45b1-b66e-ce8e651646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da6a1-a849-45b1-b66e-ce8e651646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157A47-E749-4273-8148-1731FEEBE614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e40da6a1-a849-45b1-b66e-ce8e651646c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B14FB3A-2874-4F37-8A00-482C4C567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CB390-C347-4052-AF13-738CF4F1B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0da6a1-a849-45b1-b66e-ce8e65164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LEWATE ASHITOSH DILIP</dc:creator>
  <cp:lastModifiedBy>LEWATE ASHITOSH DILIP</cp:lastModifiedBy>
  <dcterms:created xsi:type="dcterms:W3CDTF">2026-10-26T16:25:32Z</dcterms:created>
  <dcterms:modified xsi:type="dcterms:W3CDTF">2026-10-26T17:41:02Z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0x010100123CDF53A237C24FBAB7F83FEAFCA8FF</vt:lpwstr>
  </property>
</Properties>
</file>